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 HH:MM"/>
    <numFmt numFmtId="166" formatCode="DD/MM/YYYY"/>
    <numFmt numFmtId="167" formatCode="$#,##0.00"/>
  </numFmts>
  <fonts count="10">
    <font>
      <name val="Calibri"/>
      <family val="2"/>
      <color theme="1"/>
      <sz val="11"/>
      <scheme val="minor"/>
    </font>
    <font>
      <name val="Georgia"/>
      <b val="1"/>
      <color rgb="00FFFFFF"/>
      <sz val="22"/>
    </font>
    <font>
      <name val="Georgia"/>
      <i val="1"/>
      <color rgb="00E3E8DA"/>
      <sz val="10"/>
    </font>
    <font>
      <name val="Georgia"/>
      <b val="1"/>
      <color rgb="0074302A"/>
      <sz val="16"/>
    </font>
    <font>
      <name val="Georgia"/>
      <i val="1"/>
      <color rgb="004A5A4F"/>
      <sz val="10"/>
    </font>
    <font>
      <name val="Georgia"/>
      <b val="1"/>
      <color rgb="004A5A4F"/>
      <sz val="10"/>
    </font>
    <font>
      <name val="Georgia"/>
      <color rgb="0018291D"/>
      <sz val="10"/>
    </font>
    <font>
      <name val="Georgia"/>
      <b val="1"/>
      <color rgb="00FFFFFF"/>
      <sz val="10"/>
    </font>
    <font>
      <name val="Georgia"/>
      <b val="1"/>
      <color rgb="0018291D"/>
      <sz val="13"/>
    </font>
    <font>
      <name val="Georgia"/>
      <i val="1"/>
      <color rgb="004A5A4F"/>
      <sz val="8"/>
    </font>
  </fonts>
  <fills count="6">
    <fill>
      <patternFill/>
    </fill>
    <fill>
      <patternFill patternType="gray125"/>
    </fill>
    <fill>
      <patternFill patternType="solid">
        <fgColor rgb="0018291D"/>
      </patternFill>
    </fill>
    <fill>
      <patternFill patternType="solid">
        <fgColor rgb="0074302A"/>
      </patternFill>
    </fill>
    <fill>
      <patternFill patternType="solid">
        <fgColor rgb="00EFF2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2BD"/>
      </left>
      <right style="thin">
        <color rgb="00C9D2BD"/>
      </right>
      <top style="thin">
        <color rgb="00C9D2BD"/>
      </top>
      <bottom style="thin">
        <color rgb="00C9D2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inden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indent="1"/>
    </xf>
    <xf numFmtId="166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167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6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7" fontId="6" fillId="5" borderId="1" applyAlignment="1" pivotButton="0" quotePrefix="0" xfId="0">
      <alignment horizontal="right"/>
    </xf>
    <xf numFmtId="0" fontId="7" fillId="2" borderId="1" pivotButton="0" quotePrefix="0" xfId="0"/>
    <xf numFmtId="0" fontId="0" fillId="2" borderId="1" pivotButton="0" quotePrefix="0" xfId="0"/>
    <xf numFmtId="1" fontId="7" fillId="2" borderId="1" applyAlignment="1" pivotButton="0" quotePrefix="0" xfId="0">
      <alignment horizontal="center"/>
    </xf>
    <xf numFmtId="167" fontId="7" fillId="2" borderId="1" applyAlignment="1" pivotButton="0" quotePrefix="0" xfId="0">
      <alignment horizontal="right"/>
    </xf>
    <xf numFmtId="0" fontId="8" fillId="0" borderId="0" applyAlignment="1" pivotButton="0" quotePrefix="0" xfId="0">
      <alignment horizontal="right" vertical="center"/>
    </xf>
    <xf numFmtId="167" fontId="3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9" customWidth="1" min="6" max="6"/>
    <col width="12" customWidth="1" min="7" max="7"/>
    <col width="16" customWidth="1" min="8" max="8"/>
    <col width="13" customWidth="1" min="9" max="9"/>
    <col width="13" customWidth="1" min="10" max="10"/>
    <col width="16" customWidth="1" min="11" max="11"/>
  </cols>
  <sheetData>
    <row r="1" ht="34" customHeight="1">
      <c r="A1" s="1" t="inlineStr">
        <is>
          <t>CASA RANDA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Diablo Heights, Ancón · Ciudad de Panamá · randahome.com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4" t="inlineStr">
        <is>
          <t>Liquidación de comisión</t>
        </is>
      </c>
    </row>
    <row r="5">
      <c r="A5" s="5" t="inlineStr">
        <is>
          <t>Resumen de reservas y comisión del período — no es un comprobante de nómina.</t>
        </is>
      </c>
    </row>
    <row r="7">
      <c r="A7" s="6" t="inlineStr">
        <is>
          <t>Anfitriona</t>
        </is>
      </c>
      <c r="B7" s="7" t="inlineStr">
        <is>
          <t>Marquelda</t>
        </is>
      </c>
    </row>
    <row r="8">
      <c r="A8" s="6" t="inlineStr">
        <is>
          <t>Rol</t>
        </is>
      </c>
      <c r="B8" s="7" t="inlineStr">
        <is>
          <t>Recepción de huéspedes y coordinación en sitio</t>
        </is>
      </c>
    </row>
    <row r="9">
      <c r="A9" s="6" t="inlineStr">
        <is>
          <t>Período de liquidación</t>
        </is>
      </c>
      <c r="B9" s="7" t="inlineStr">
        <is>
          <t>Septiembre 2026</t>
        </is>
      </c>
    </row>
    <row r="10">
      <c r="A10" s="6" t="inlineStr">
        <is>
          <t>Fecha de generación</t>
        </is>
      </c>
      <c r="B10" s="8" t="n">
        <v>46294.4375</v>
      </c>
    </row>
    <row r="12" ht="30" customHeight="1">
      <c r="A12" s="9" t="inlineStr">
        <is>
          <t>Cliente</t>
        </is>
      </c>
      <c r="B12" s="9" t="inlineStr">
        <is>
          <t>Plataforma</t>
        </is>
      </c>
      <c r="C12" s="9" t="inlineStr">
        <is>
          <t>Reserva</t>
        </is>
      </c>
      <c r="D12" s="9" t="inlineStr">
        <is>
          <t>Check-in</t>
        </is>
      </c>
      <c r="E12" s="9" t="inlineStr">
        <is>
          <t>Check-out</t>
        </is>
      </c>
      <c r="F12" s="9" t="inlineStr">
        <is>
          <t>Noches</t>
        </is>
      </c>
      <c r="G12" s="9" t="inlineStr">
        <is>
          <t>Valor bruto</t>
        </is>
      </c>
      <c r="H12" s="9" t="inlineStr">
        <is>
          <t>Comisión plataforma</t>
        </is>
      </c>
      <c r="I12" s="9" t="inlineStr">
        <is>
          <t>Valor recibido</t>
        </is>
      </c>
      <c r="J12" s="9" t="inlineStr">
        <is>
          <t>Saldo Randa</t>
        </is>
      </c>
      <c r="K12" s="9" t="inlineStr">
        <is>
          <t>Comisión Marquelda</t>
        </is>
      </c>
    </row>
    <row r="13">
      <c r="A13" s="10" t="inlineStr">
        <is>
          <t>Nestor Balbi Ciriaco</t>
        </is>
      </c>
      <c r="B13" s="10" t="inlineStr">
        <is>
          <t>Airbnb</t>
        </is>
      </c>
      <c r="C13" s="10" t="inlineStr">
        <is>
          <t>HM2RYYWTXD</t>
        </is>
      </c>
      <c r="D13" s="11" t="inlineStr">
        <is>
          <t>2026-09-20</t>
        </is>
      </c>
      <c r="E13" s="11" t="inlineStr">
        <is>
          <t>2026-09-21</t>
        </is>
      </c>
      <c r="F13" s="12" t="n">
        <v>1</v>
      </c>
      <c r="G13" s="13" t="n">
        <v>477</v>
      </c>
      <c r="H13" s="13" t="n">
        <v>87.98999999999999</v>
      </c>
      <c r="I13" s="13" t="n">
        <v>389.01</v>
      </c>
      <c r="J13" s="13" t="n">
        <v>389.01</v>
      </c>
      <c r="K13" s="13" t="n">
        <v>38.9</v>
      </c>
    </row>
    <row r="14">
      <c r="A14" s="14" t="inlineStr">
        <is>
          <t>Tonisha Allen</t>
        </is>
      </c>
      <c r="B14" s="14" t="inlineStr">
        <is>
          <t>Airbnb</t>
        </is>
      </c>
      <c r="C14" s="14" t="inlineStr">
        <is>
          <t>HMZ8AHEC4Z</t>
        </is>
      </c>
      <c r="D14" s="15" t="inlineStr">
        <is>
          <t>2026-09-07</t>
        </is>
      </c>
      <c r="E14" s="15" t="inlineStr">
        <is>
          <t>2026-09-10</t>
        </is>
      </c>
      <c r="F14" s="16" t="n">
        <v>3</v>
      </c>
      <c r="G14" s="17" t="n">
        <v>1054.02</v>
      </c>
      <c r="H14" s="17" t="n">
        <v>168.33</v>
      </c>
      <c r="I14" s="17" t="n">
        <v>885.6900000000001</v>
      </c>
      <c r="J14" s="17" t="n">
        <v>885.6900000000001</v>
      </c>
      <c r="K14" s="17" t="n">
        <v>88.56999999999999</v>
      </c>
    </row>
    <row r="15">
      <c r="A15" s="10" t="inlineStr">
        <is>
          <t>Naia Salazar</t>
        </is>
      </c>
      <c r="B15" s="10" t="inlineStr">
        <is>
          <t>Airbnb</t>
        </is>
      </c>
      <c r="C15" s="10" t="inlineStr">
        <is>
          <t>HMS3H43XZZ</t>
        </is>
      </c>
      <c r="D15" s="11" t="inlineStr">
        <is>
          <t>2026-09-26</t>
        </is>
      </c>
      <c r="E15" s="11" t="inlineStr">
        <is>
          <t>2026-09-27</t>
        </is>
      </c>
      <c r="F15" s="12" t="n">
        <v>1</v>
      </c>
      <c r="G15" s="13" t="n">
        <v>475.57</v>
      </c>
      <c r="H15" s="13" t="n">
        <v>75.95</v>
      </c>
      <c r="I15" s="13" t="n">
        <v>399.62</v>
      </c>
      <c r="J15" s="13" t="n">
        <v>399.62</v>
      </c>
      <c r="K15" s="13" t="n">
        <v>39.96</v>
      </c>
    </row>
    <row r="16">
      <c r="A16" s="18" t="inlineStr">
        <is>
          <t>TOTAL</t>
        </is>
      </c>
      <c r="B16" s="19" t="inlineStr"/>
      <c r="C16" s="19" t="inlineStr"/>
      <c r="D16" s="19" t="inlineStr"/>
      <c r="E16" s="19" t="inlineStr"/>
      <c r="F16" s="20">
        <f>SUM(F13:F15)</f>
        <v/>
      </c>
      <c r="G16" s="21">
        <f>SUM(G13:G15)</f>
        <v/>
      </c>
      <c r="H16" s="21">
        <f>SUM(H13:H15)</f>
        <v/>
      </c>
      <c r="I16" s="21">
        <f>SUM(I13:I15)</f>
        <v/>
      </c>
      <c r="J16" s="21">
        <f>SUM(J13:J15)</f>
        <v/>
      </c>
      <c r="K16" s="21">
        <f>SUM(K13:K15)</f>
        <v/>
      </c>
    </row>
    <row r="18" ht="26" customHeight="1">
      <c r="A18" s="22" t="inlineStr">
        <is>
          <t>Total a liquidar a Marquelda</t>
        </is>
      </c>
      <c r="J18" s="23">
        <f>K16</f>
        <v/>
      </c>
    </row>
    <row r="20" ht="26" customHeight="1">
      <c r="A20" s="24" t="inlineStr">
        <is>
          <t>Este documento es un resumen informativo generado automáticamente desde la intranet de Casa Randa a partir de las reservas confirmadas del período. No constituye un comprobante fiscal ni un recibo de nómina.</t>
        </is>
      </c>
    </row>
  </sheetData>
  <mergeCells count="11">
    <mergeCell ref="B10:D10"/>
    <mergeCell ref="A4:K4"/>
    <mergeCell ref="A20:K20"/>
    <mergeCell ref="B8:D8"/>
    <mergeCell ref="A2:K2"/>
    <mergeCell ref="B9:D9"/>
    <mergeCell ref="A18:I18"/>
    <mergeCell ref="J18:K18"/>
    <mergeCell ref="A5:K5"/>
    <mergeCell ref="B7:D7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2026-09-29T15:38:36Z</dcterms:created>
  <dcterms:modified xsi:type="dcterms:W3CDTF">2026-09-29T15:38:36Z</dcterms:modified>
</cp:coreProperties>
</file>